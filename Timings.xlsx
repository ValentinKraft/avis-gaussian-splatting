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tables/table5.xml" ContentType="application/vnd.openxmlformats-officedocument.spreadsheetml.table+xml"/>
  <Override PartName="/xl/tables/table6.xml" ContentType="application/vnd.openxmlformats-officedocument.spreadsheetml.table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7928"/>
  <workbookPr defaultThemeVersion="202300"/>
  <mc:AlternateContent xmlns:mc="http://schemas.openxmlformats.org/markup-compatibility/2006">
    <mc:Choice Requires="x15">
      <x15ac:absPath xmlns:x15ac="http://schemas.microsoft.com/office/spreadsheetml/2010/11/ac" url="C:\DEV\TESTS\gs\avis-gaussian-splatting\"/>
    </mc:Choice>
  </mc:AlternateContent>
  <xr:revisionPtr revIDLastSave="0" documentId="13_ncr:1_{723323E2-75A2-4090-AD74-D10E792BDEC4}" xr6:coauthVersionLast="47" xr6:coauthVersionMax="47" xr10:uidLastSave="{00000000-0000-0000-0000-000000000000}"/>
  <bookViews>
    <workbookView xWindow="5805" yWindow="1500" windowWidth="35625" windowHeight="17385" xr2:uid="{91218539-CA6E-4D46-9F47-0C4D7F2F2CA5}"/>
  </bookViews>
  <sheets>
    <sheet name="Tabelle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P49" i="1" l="1"/>
  <c r="P50" i="1"/>
  <c r="W8" i="1"/>
  <c r="W9" i="1"/>
  <c r="X8" i="1"/>
  <c r="T11" i="1"/>
  <c r="X9" i="1" s="1"/>
  <c r="T10" i="1"/>
  <c r="T9" i="1"/>
  <c r="T8" i="1"/>
</calcChain>
</file>

<file path=xl/sharedStrings.xml><?xml version="1.0" encoding="utf-8"?>
<sst xmlns="http://schemas.openxmlformats.org/spreadsheetml/2006/main" count="98" uniqueCount="50">
  <si>
    <t>Nr Of Points</t>
  </si>
  <si>
    <t>Training Duration</t>
  </si>
  <si>
    <t>Resolution</t>
  </si>
  <si>
    <t>Smart Initialization</t>
  </si>
  <si>
    <t>Random Initialization</t>
  </si>
  <si>
    <t>Comments</t>
  </si>
  <si>
    <t>17.06.</t>
  </si>
  <si>
    <t>PSNR (Start)</t>
  </si>
  <si>
    <t>Loss (Start)</t>
  </si>
  <si>
    <t>Loss (End)</t>
  </si>
  <si>
    <t>PSNR (End)</t>
  </si>
  <si>
    <t>With Orientation, DICOM Colors</t>
  </si>
  <si>
    <t>Without orientation, DICOM colors</t>
  </si>
  <si>
    <t>WO Orientation, random Colors</t>
  </si>
  <si>
    <t>W Orientation, random Colors</t>
  </si>
  <si>
    <t>Bad Placement</t>
  </si>
  <si>
    <t>Better Placement</t>
  </si>
  <si>
    <t>Code</t>
  </si>
  <si>
    <t>bb28143d-9</t>
  </si>
  <si>
    <t>35445b03-3</t>
  </si>
  <si>
    <t>Nr of Points End</t>
  </si>
  <si>
    <t>e7e980d1-d</t>
  </si>
  <si>
    <t>Plot</t>
  </si>
  <si>
    <t>Name</t>
  </si>
  <si>
    <t>Smart</t>
  </si>
  <si>
    <t>Random</t>
  </si>
  <si>
    <t>Training Duration (s)</t>
  </si>
  <si>
    <t>561feaa9-6</t>
  </si>
  <si>
    <t>FULL DATASET</t>
  </si>
  <si>
    <t>ffed025f-1</t>
  </si>
  <si>
    <t>FULL DATASET, wo orientation</t>
  </si>
  <si>
    <t>0ab49491-5</t>
  </si>
  <si>
    <t>Start=</t>
  </si>
  <si>
    <t>100% Resolution =</t>
  </si>
  <si>
    <t>1024x1024</t>
  </si>
  <si>
    <t>4c87e4ce-9</t>
  </si>
  <si>
    <t>86c60d41-2</t>
  </si>
  <si>
    <t>Improvement</t>
  </si>
  <si>
    <t>PSNR</t>
  </si>
  <si>
    <t>Training Dur.</t>
  </si>
  <si>
    <t>Blue</t>
  </si>
  <si>
    <t>Red</t>
  </si>
  <si>
    <t>Spalte1</t>
  </si>
  <si>
    <t>Cinematic Gaussians</t>
  </si>
  <si>
    <t>Gaussian Splatting</t>
  </si>
  <si>
    <t>23% Training (Iteration 7000)</t>
  </si>
  <si>
    <t>25.06:17:00</t>
  </si>
  <si>
    <t>100k</t>
  </si>
  <si>
    <t>26.06:09:00</t>
  </si>
  <si>
    <t>Ohne Rotation &amp; Scaling!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</si>
</sst>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[$-F400]h:mm:ss\ AM/PM"/>
  </numFmts>
  <fonts count="5" x14ac:knownFonts="1">
    <font>
      <sz val="11"/>
      <color theme="1"/>
      <name val="Aptos Narrow"/>
      <family val="2"/>
      <scheme val="minor"/>
    </font>
    <font>
      <b/>
      <u/>
      <sz val="11"/>
      <color theme="1"/>
      <name val="Aptos Narrow"/>
      <family val="2"/>
      <scheme val="minor"/>
    </font>
    <font>
      <b/>
      <sz val="11"/>
      <color theme="0"/>
      <name val="Aptos Narrow"/>
      <family val="2"/>
      <scheme val="minor"/>
    </font>
    <font>
      <sz val="11"/>
      <color theme="1"/>
      <name val="Aptos Narrow"/>
      <family val="2"/>
      <scheme val="minor"/>
    </font>
    <font>
      <b/>
      <sz val="20"/>
      <color theme="1"/>
      <name val="Aptos Narrow"/>
      <family val="2"/>
      <scheme val="minor"/>
    </font>
  </fonts>
  <fills count="7">
    <fill>
      <patternFill patternType="none"/>
    </fill>
    <fill>
      <patternFill patternType="gray125"/>
    </fill>
    <fill>
      <patternFill patternType="solid">
        <fgColor theme="4"/>
        <bgColor theme="4"/>
      </patternFill>
    </fill>
    <fill>
      <patternFill patternType="solid">
        <fgColor theme="3" tint="0.89999084444715716"/>
        <bgColor indexed="64"/>
      </patternFill>
    </fill>
    <fill>
      <patternFill patternType="solid">
        <fgColor theme="6" tint="0.79998168889431442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rgb="FFFFFF00"/>
        <bgColor indexed="64"/>
      </patternFill>
    </fill>
  </fills>
  <borders count="5">
    <border>
      <left/>
      <right/>
      <top/>
      <bottom/>
      <diagonal/>
    </border>
    <border>
      <left style="thin">
        <color theme="4"/>
      </left>
      <right/>
      <top style="thin">
        <color theme="4"/>
      </top>
      <bottom/>
      <diagonal/>
    </border>
    <border>
      <left/>
      <right/>
      <top style="thin">
        <color theme="4"/>
      </top>
      <bottom/>
      <diagonal/>
    </border>
    <border>
      <left/>
      <right style="thin">
        <color theme="4"/>
      </right>
      <top style="thin">
        <color theme="4"/>
      </top>
      <bottom/>
      <diagonal/>
    </border>
    <border>
      <left/>
      <right style="thin">
        <color theme="4"/>
      </right>
      <top style="thin">
        <color theme="4"/>
      </top>
      <bottom style="thin">
        <color theme="4"/>
      </bottom>
      <diagonal/>
    </border>
  </borders>
  <cellStyleXfs count="2">
    <xf numFmtId="0" fontId="0" fillId="0" borderId="0"/>
    <xf numFmtId="9" fontId="3" fillId="0" borderId="0" applyFont="0" applyFill="0" applyBorder="0" applyAlignment="0" applyProtection="0"/>
  </cellStyleXfs>
  <cellXfs count="46">
    <xf numFmtId="0" fontId="0" fillId="0" borderId="0" xfId="0"/>
    <xf numFmtId="20" fontId="0" fillId="0" borderId="0" xfId="0" applyNumberFormat="1"/>
    <xf numFmtId="14" fontId="0" fillId="0" borderId="0" xfId="0" applyNumberFormat="1"/>
    <xf numFmtId="164" fontId="0" fillId="0" borderId="0" xfId="0" applyNumberFormat="1"/>
    <xf numFmtId="0" fontId="0" fillId="0" borderId="0" xfId="0" applyNumberFormat="1"/>
    <xf numFmtId="0" fontId="1" fillId="0" borderId="0" xfId="0" applyFont="1"/>
    <xf numFmtId="0" fontId="1" fillId="0" borderId="0" xfId="0" applyFont="1" applyFill="1"/>
    <xf numFmtId="0" fontId="2" fillId="2" borderId="1" xfId="0" applyFont="1" applyFill="1" applyBorder="1"/>
    <xf numFmtId="0" fontId="2" fillId="2" borderId="2" xfId="0" applyFont="1" applyFill="1" applyBorder="1"/>
    <xf numFmtId="0" fontId="2" fillId="2" borderId="3" xfId="0" applyFont="1" applyFill="1" applyBorder="1"/>
    <xf numFmtId="0" fontId="0" fillId="0" borderId="3" xfId="0" applyFont="1" applyBorder="1"/>
    <xf numFmtId="0" fontId="0" fillId="0" borderId="1" xfId="0" applyFont="1" applyBorder="1"/>
    <xf numFmtId="0" fontId="0" fillId="0" borderId="4" xfId="0" applyFont="1" applyBorder="1"/>
    <xf numFmtId="0" fontId="0" fillId="3" borderId="0" xfId="0" applyFill="1"/>
    <xf numFmtId="20" fontId="0" fillId="3" borderId="0" xfId="0" applyNumberFormat="1" applyFill="1"/>
    <xf numFmtId="0" fontId="0" fillId="3" borderId="0" xfId="0" applyNumberFormat="1" applyFill="1"/>
    <xf numFmtId="0" fontId="0" fillId="3" borderId="3" xfId="0" applyFont="1" applyFill="1" applyBorder="1"/>
    <xf numFmtId="0" fontId="0" fillId="4" borderId="0" xfId="0" applyFill="1"/>
    <xf numFmtId="20" fontId="0" fillId="4" borderId="0" xfId="0" applyNumberFormat="1" applyFill="1"/>
    <xf numFmtId="0" fontId="0" fillId="4" borderId="0" xfId="0" applyNumberFormat="1" applyFill="1"/>
    <xf numFmtId="9" fontId="0" fillId="0" borderId="0" xfId="0" applyNumberFormat="1"/>
    <xf numFmtId="9" fontId="0" fillId="3" borderId="0" xfId="0" applyNumberFormat="1" applyFill="1"/>
    <xf numFmtId="9" fontId="0" fillId="4" borderId="0" xfId="0" applyNumberFormat="1" applyFill="1"/>
    <xf numFmtId="0" fontId="0" fillId="4" borderId="3" xfId="0" applyFont="1" applyFill="1" applyBorder="1"/>
    <xf numFmtId="0" fontId="0" fillId="3" borderId="1" xfId="0" applyFont="1" applyFill="1" applyBorder="1"/>
    <xf numFmtId="0" fontId="0" fillId="3" borderId="2" xfId="0" applyFont="1" applyFill="1" applyBorder="1"/>
    <xf numFmtId="0" fontId="0" fillId="3" borderId="2" xfId="0" applyNumberFormat="1" applyFont="1" applyFill="1" applyBorder="1"/>
    <xf numFmtId="0" fontId="0" fillId="5" borderId="0" xfId="0" applyFill="1"/>
    <xf numFmtId="20" fontId="0" fillId="5" borderId="0" xfId="0" applyNumberFormat="1" applyFill="1"/>
    <xf numFmtId="9" fontId="0" fillId="5" borderId="0" xfId="0" applyNumberFormat="1" applyFill="1"/>
    <xf numFmtId="0" fontId="0" fillId="5" borderId="3" xfId="0" applyFont="1" applyFill="1" applyBorder="1"/>
    <xf numFmtId="0" fontId="0" fillId="5" borderId="0" xfId="0" applyNumberFormat="1" applyFill="1"/>
    <xf numFmtId="0" fontId="0" fillId="5" borderId="2" xfId="0" applyFont="1" applyFill="1" applyBorder="1"/>
    <xf numFmtId="0" fontId="0" fillId="5" borderId="1" xfId="0" applyFont="1" applyFill="1" applyBorder="1"/>
    <xf numFmtId="0" fontId="2" fillId="2" borderId="0" xfId="0" applyFont="1" applyFill="1" applyBorder="1"/>
    <xf numFmtId="9" fontId="0" fillId="5" borderId="0" xfId="1" applyFont="1" applyFill="1"/>
    <xf numFmtId="9" fontId="0" fillId="3" borderId="0" xfId="1" applyFont="1" applyFill="1"/>
    <xf numFmtId="0" fontId="0" fillId="0" borderId="3" xfId="0" applyFont="1" applyFill="1" applyBorder="1"/>
    <xf numFmtId="0" fontId="0" fillId="6" borderId="0" xfId="0" applyFill="1"/>
    <xf numFmtId="0" fontId="4" fillId="6" borderId="0" xfId="0" applyFont="1" applyFill="1"/>
    <xf numFmtId="0" fontId="0" fillId="0" borderId="0" xfId="0" applyFill="1"/>
    <xf numFmtId="9" fontId="0" fillId="0" borderId="0" xfId="0" applyNumberFormat="1" applyFill="1"/>
    <xf numFmtId="0" fontId="0" fillId="0" borderId="0" xfId="0" applyNumberFormat="1" applyFill="1"/>
    <xf numFmtId="20" fontId="0" fillId="0" borderId="0" xfId="0" applyNumberFormat="1" applyFill="1"/>
    <xf numFmtId="14" fontId="0" fillId="3" borderId="0" xfId="0" applyNumberFormat="1" applyFill="1"/>
    <xf numFmtId="46" fontId="0" fillId="3" borderId="0" xfId="0" applyNumberFormat="1" applyFill="1"/>
  </cellXfs>
  <cellStyles count="2">
    <cellStyle name="Prozent" xfId="1" builtinId="5"/>
    <cellStyle name="Standard" xfId="0" builtinId="0"/>
  </cellStyles>
  <dxfs count="8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fill>
        <patternFill patternType="solid">
          <fgColor indexed="64"/>
          <bgColor theme="5" tint="0.79998168889431442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13" formatCode="0%"/>
      <fill>
        <patternFill patternType="solid">
          <fgColor indexed="64"/>
          <bgColor theme="3" tint="0.89999084444715716"/>
        </patternFill>
      </fill>
    </dxf>
    <dxf>
      <numFmt numFmtId="25" formatCode="hh:mm"/>
    </dxf>
    <dxf>
      <numFmt numFmtId="25" formatCode="hh:mm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fill>
        <patternFill patternType="solid">
          <fgColor indexed="64"/>
          <bgColor theme="5" tint="0.79998168889431442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13" formatCode="0%"/>
      <fill>
        <patternFill patternType="solid">
          <fgColor indexed="64"/>
          <bgColor theme="3" tint="0.89999084444715716"/>
        </patternFill>
      </fill>
    </dxf>
    <dxf>
      <numFmt numFmtId="25" formatCode="hh:mm"/>
    </dxf>
    <dxf>
      <numFmt numFmtId="25" formatCode="hh:mm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de-DE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de-DE"/>
              <a:t>Vergleich PSNR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de-DE"/>
        </a:p>
      </c:tx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Tabelle1!$Q$7</c:f>
              <c:strCache>
                <c:ptCount val="1"/>
                <c:pt idx="0">
                  <c:v>PSNR (Start)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cat>
            <c:strRef>
              <c:f>Tabelle1!$P$8:$P$9</c:f>
              <c:strCache>
                <c:ptCount val="2"/>
                <c:pt idx="0">
                  <c:v>Random</c:v>
                </c:pt>
                <c:pt idx="1">
                  <c:v>Smart</c:v>
                </c:pt>
              </c:strCache>
            </c:strRef>
          </c:cat>
          <c:val>
            <c:numRef>
              <c:f>Tabelle1!$Q$10:$Q$11</c:f>
              <c:numCache>
                <c:formatCode>General</c:formatCode>
                <c:ptCount val="2"/>
                <c:pt idx="0">
                  <c:v>27.31</c:v>
                </c:pt>
                <c:pt idx="1">
                  <c:v>27.67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30DB-4540-9F03-808D8C2A7F67}"/>
            </c:ext>
          </c:extLst>
        </c:ser>
        <c:ser>
          <c:idx val="1"/>
          <c:order val="1"/>
          <c:tx>
            <c:strRef>
              <c:f>Tabelle1!$R$7</c:f>
              <c:strCache>
                <c:ptCount val="1"/>
                <c:pt idx="0">
                  <c:v>PSNR (End)</c:v>
                </c:pt>
              </c:strCache>
            </c:strRef>
          </c:tx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cat>
            <c:strRef>
              <c:f>Tabelle1!$P$8:$P$9</c:f>
              <c:strCache>
                <c:ptCount val="2"/>
                <c:pt idx="0">
                  <c:v>Random</c:v>
                </c:pt>
                <c:pt idx="1">
                  <c:v>Smart</c:v>
                </c:pt>
              </c:strCache>
            </c:strRef>
          </c:cat>
          <c:val>
            <c:numRef>
              <c:f>Tabelle1!$R$10:$R$11</c:f>
              <c:numCache>
                <c:formatCode>General</c:formatCode>
                <c:ptCount val="2"/>
                <c:pt idx="0">
                  <c:v>30.06</c:v>
                </c:pt>
                <c:pt idx="1">
                  <c:v>30.87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30DB-4540-9F03-808D8C2A7F67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1148451536"/>
        <c:axId val="1148449616"/>
      </c:barChart>
      <c:catAx>
        <c:axId val="1148451536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de-DE"/>
          </a:p>
        </c:txPr>
        <c:crossAx val="1148449616"/>
        <c:crosses val="autoZero"/>
        <c:auto val="1"/>
        <c:lblAlgn val="ctr"/>
        <c:lblOffset val="100"/>
        <c:noMultiLvlLbl val="0"/>
      </c:catAx>
      <c:valAx>
        <c:axId val="1148449616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de-DE"/>
          </a:p>
        </c:txPr>
        <c:crossAx val="1148451536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de-DE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de-DE"/>
    </a:p>
  </c:txPr>
  <c:printSettings>
    <c:headerFooter/>
    <c:pageMargins b="0.78740157499999996" l="0.7" r="0.7" t="0.78740157499999996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de-DE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de-DE"/>
        </a:p>
      </c:tx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Tabelle1!$T$7</c:f>
              <c:strCache>
                <c:ptCount val="1"/>
                <c:pt idx="0">
                  <c:v>Training Duration (s)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cat>
            <c:strRef>
              <c:f>Tabelle1!$P$8:$P$9</c:f>
              <c:strCache>
                <c:ptCount val="2"/>
                <c:pt idx="0">
                  <c:v>Random</c:v>
                </c:pt>
                <c:pt idx="1">
                  <c:v>Smart</c:v>
                </c:pt>
              </c:strCache>
            </c:strRef>
          </c:cat>
          <c:val>
            <c:numRef>
              <c:f>Tabelle1!$T$10:$T$11</c:f>
              <c:numCache>
                <c:formatCode>General</c:formatCode>
                <c:ptCount val="2"/>
                <c:pt idx="0">
                  <c:v>969</c:v>
                </c:pt>
                <c:pt idx="1">
                  <c:v>824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B15F-426B-B905-B85F10AA01C1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1248951152"/>
        <c:axId val="1248948752"/>
      </c:barChart>
      <c:catAx>
        <c:axId val="1248951152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de-DE"/>
          </a:p>
        </c:txPr>
        <c:crossAx val="1248948752"/>
        <c:crosses val="autoZero"/>
        <c:auto val="1"/>
        <c:lblAlgn val="ctr"/>
        <c:lblOffset val="100"/>
        <c:noMultiLvlLbl val="0"/>
      </c:catAx>
      <c:valAx>
        <c:axId val="1248948752"/>
        <c:scaling>
          <c:orientation val="minMax"/>
          <c:min val="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de-DE"/>
          </a:p>
        </c:txPr>
        <c:crossAx val="1248951152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de-DE"/>
    </a:p>
  </c:txPr>
  <c:printSettings>
    <c:headerFooter/>
    <c:pageMargins b="0.78740157499999996" l="0.7" r="0.7" t="0.78740157499999996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1">
  <a:schemeClr val="accent1"/>
  <a:schemeClr val="accent3"/>
  <a:schemeClr val="accent5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2" Type="http://schemas.openxmlformats.org/officeDocument/2006/relationships/chart" Target="../charts/chart2.xml"/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20</xdr:col>
      <xdr:colOff>476249</xdr:colOff>
      <xdr:row>13</xdr:row>
      <xdr:rowOff>128586</xdr:rowOff>
    </xdr:from>
    <xdr:to>
      <xdr:col>26</xdr:col>
      <xdr:colOff>438150</xdr:colOff>
      <xdr:row>33</xdr:row>
      <xdr:rowOff>114300</xdr:rowOff>
    </xdr:to>
    <xdr:graphicFrame macro="">
      <xdr:nvGraphicFramePr>
        <xdr:cNvPr id="4" name="Diagramm 3">
          <a:extLst>
            <a:ext uri="{FF2B5EF4-FFF2-40B4-BE49-F238E27FC236}">
              <a16:creationId xmlns:a16="http://schemas.microsoft.com/office/drawing/2014/main" id="{FFB76DED-04C5-79CB-9661-0A68F9008448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14</xdr:col>
      <xdr:colOff>461962</xdr:colOff>
      <xdr:row>13</xdr:row>
      <xdr:rowOff>119062</xdr:rowOff>
    </xdr:from>
    <xdr:to>
      <xdr:col>20</xdr:col>
      <xdr:colOff>252412</xdr:colOff>
      <xdr:row>32</xdr:row>
      <xdr:rowOff>133350</xdr:rowOff>
    </xdr:to>
    <xdr:graphicFrame macro="">
      <xdr:nvGraphicFramePr>
        <xdr:cNvPr id="5" name="Diagramm 4">
          <a:extLst>
            <a:ext uri="{FF2B5EF4-FFF2-40B4-BE49-F238E27FC236}">
              <a16:creationId xmlns:a16="http://schemas.microsoft.com/office/drawing/2014/main" id="{4FBA0F4F-3D54-1C68-E6FE-6D9F3B030963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B23995EE-D1AC-4E6A-A91A-80AB79A654FE}" name="Tabelle1" displayName="Tabelle1" ref="C7:K21" totalsRowShown="0">
  <autoFilter ref="C7:K21" xr:uid="{B23995EE-D1AC-4E6A-A91A-80AB79A654FE}"/>
  <tableColumns count="9">
    <tableColumn id="1" xr3:uid="{EA3F6830-BAC4-4FD9-A394-9E999F8033CE}" name="Code"/>
    <tableColumn id="2" xr3:uid="{F091966C-55EF-48D3-B415-C56E9FE9AAC5}" name="Training Duration"/>
    <tableColumn id="3" xr3:uid="{4C1CFC3C-F530-4FFA-A8CA-ADF991176FFD}" name="Nr Of Points" dataDxfId="7"/>
    <tableColumn id="4" xr3:uid="{E9B572CD-3E9A-4CEA-9B7C-305488712FFB}" name="Resolution"/>
    <tableColumn id="6" xr3:uid="{94FB43B6-19FB-4A94-A78E-1026CB6E37F2}" name="PSNR (Start)"/>
    <tableColumn id="7" xr3:uid="{18CF464E-7E9E-4DB2-BCF0-CFB02527AC18}" name="PSNR (End)"/>
    <tableColumn id="8" xr3:uid="{FDB7CFA4-5E00-479A-ADF7-E103BC1ED88C}" name="Loss (Start)"/>
    <tableColumn id="9" xr3:uid="{B4B56141-5A8A-475C-ADE3-FD142F451865}" name="Loss (End)"/>
    <tableColumn id="10" xr3:uid="{85F36A5D-30EB-4D28-A49E-50FA963A7ABC}" name="Nr of Points End"/>
  </tableColumns>
  <tableStyleInfo name="TableStyleLight9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41A20CA5-4675-49BB-8958-E2F68EA96ED0}" name="Tabelle13" displayName="Tabelle13" ref="C26:L40" totalsRowShown="0">
  <autoFilter ref="C26:L40" xr:uid="{41A20CA5-4675-49BB-8958-E2F68EA96ED0}"/>
  <tableColumns count="10">
    <tableColumn id="1" xr3:uid="{5ADD7675-23D6-40D9-8031-52023CB23480}" name="Code"/>
    <tableColumn id="2" xr3:uid="{14203E69-6608-483D-BBEB-EB038E259A23}" name="Training Duration"/>
    <tableColumn id="3" xr3:uid="{5FE5403A-FE12-41A1-BE7D-0FC20267D7C4}" name="Nr Of Points" dataDxfId="6"/>
    <tableColumn id="4" xr3:uid="{6BB98B40-3C2F-4659-B95E-6F199432AF52}" name="Resolution"/>
    <tableColumn id="5" xr3:uid="{B4B69CDA-51CC-4214-89F5-CD30E8EB4931}" name="PSNR (Start)"/>
    <tableColumn id="6" xr3:uid="{C2AAF3AF-1964-4907-9B53-4AAEF160B32B}" name="PSNR (End)"/>
    <tableColumn id="7" xr3:uid="{33CAF3C7-8F0F-42A6-A2D8-A3625FCD81F9}" name="Loss (Start)"/>
    <tableColumn id="8" xr3:uid="{5A2CABB3-9FD4-4659-A472-928036ED601F}" name="Loss (End)"/>
    <tableColumn id="9" xr3:uid="{845B5EE9-5F9F-4A7C-AF02-F0D943496E19}" name="Nr of Points End"/>
    <tableColumn id="10" xr3:uid="{90CFA1D6-50D2-45A3-8D39-22F80E499D45}" name="Comments"/>
  </tableColumns>
  <tableStyleInfo name="TableStyleLight9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CAF6CA38-A879-4E1D-939A-4F49F01E476B}" name="Tabelle3" displayName="Tabelle3" ref="V7:X9" totalsRowShown="0">
  <autoFilter ref="V7:X9" xr:uid="{CAF6CA38-A879-4E1D-939A-4F49F01E476B}"/>
  <tableColumns count="3">
    <tableColumn id="1" xr3:uid="{ADF7F475-D563-4612-8AD8-71DAD1D2CE7C}" name="Spalte1"/>
    <tableColumn id="2" xr3:uid="{8EE6E213-7A6E-49E0-8C89-CA05EE60D19B}" name="Blue" dataDxfId="5" dataCellStyle="Prozent">
      <calculatedColumnFormula>R9/R8</calculatedColumnFormula>
    </tableColumn>
    <tableColumn id="3" xr3:uid="{696629D8-E2FE-486F-8554-54A0C09074BE}" name="Red" dataDxfId="4" dataCellStyle="Prozent">
      <calculatedColumnFormula>T10/T9</calculatedColumnFormula>
    </tableColumn>
  </tableColumns>
  <tableStyleInfo name="TableStyleLight9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24567F50-1684-4737-947B-346844D16070}" name="Tabelle15" displayName="Tabelle15" ref="C48:K62" totalsRowShown="0">
  <autoFilter ref="C48:K62" xr:uid="{24567F50-1684-4737-947B-346844D16070}"/>
  <tableColumns count="9">
    <tableColumn id="1" xr3:uid="{16B84E3B-6F04-4493-8D97-29CD2344449A}" name="Code"/>
    <tableColumn id="2" xr3:uid="{610A843A-B98C-47B1-A6D3-CDB811A53CE8}" name="Training Duration"/>
    <tableColumn id="3" xr3:uid="{DF755203-AFBC-4860-BD4F-4432648FEE7D}" name="Nr Of Points" dataDxfId="3"/>
    <tableColumn id="4" xr3:uid="{9547ACFC-FF01-4E72-884B-AF7F5B534A68}" name="Resolution"/>
    <tableColumn id="6" xr3:uid="{F05F4F04-CECB-4BD0-9A43-9A1B85591A96}" name="PSNR (Start)"/>
    <tableColumn id="7" xr3:uid="{B62AC83F-DE2B-468B-B129-6BD01F2C00B2}" name="PSNR (End)"/>
    <tableColumn id="8" xr3:uid="{4028D52E-B5DA-47A7-B3BD-0D4D94C724A6}" name="Loss (Start)"/>
    <tableColumn id="9" xr3:uid="{DBF42164-BA6E-4D04-BF36-57D87074E573}" name="Loss (End)"/>
    <tableColumn id="10" xr3:uid="{D5E791A1-F987-4E40-B829-4893B9F2EB70}" name="Nr of Points End"/>
  </tableColumns>
  <tableStyleInfo name="TableStyleLight9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2C8F774A-F8A0-4009-BB08-95183D210C6A}" name="Tabelle136" displayName="Tabelle136" ref="C67:L81" totalsRowShown="0">
  <autoFilter ref="C67:L81" xr:uid="{2C8F774A-F8A0-4009-BB08-95183D210C6A}"/>
  <tableColumns count="10">
    <tableColumn id="1" xr3:uid="{42E5749D-01BF-4157-AA2C-7D3D72631E67}" name="Code"/>
    <tableColumn id="2" xr3:uid="{B2335CC2-CFBD-4A26-8B5A-EAD86A64E596}" name="Training Duration"/>
    <tableColumn id="3" xr3:uid="{C4D378BC-CE64-4DE2-96B7-F774912DB114}" name="Nr Of Points" dataDxfId="2"/>
    <tableColumn id="4" xr3:uid="{46C5C1CB-C5F4-4A2F-97E4-599F697072D4}" name="Resolution"/>
    <tableColumn id="5" xr3:uid="{D44FCDD2-ACCD-423D-9562-37EB6C1F0B2B}" name="PSNR (Start)"/>
    <tableColumn id="6" xr3:uid="{3DE463D2-E1A1-4BE7-8B3C-F08BD0660649}" name="PSNR (End)"/>
    <tableColumn id="7" xr3:uid="{8C1A1A61-B08F-4F0D-BD86-CC69AE3B1D0A}" name="Loss (Start)"/>
    <tableColumn id="8" xr3:uid="{7A76DC0F-06AE-4978-B8E6-DF8BEA3B0189}" name="Loss (End)"/>
    <tableColumn id="9" xr3:uid="{222F5043-C77F-432A-BD58-ABA845CCCB6B}" name="Nr of Points End"/>
    <tableColumn id="10" xr3:uid="{7153EC0E-F51D-491E-82A9-2DBB8F904443}" name="Comments"/>
  </tableColumns>
  <tableStyleInfo name="TableStyleLight9"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F0B7A215-271E-49DA-A4A7-9FCBFF5A1EDA}" name="Tabelle37" displayName="Tabelle37" ref="O48:Q50" totalsRowShown="0">
  <autoFilter ref="O48:Q50" xr:uid="{F0B7A215-271E-49DA-A4A7-9FCBFF5A1EDA}"/>
  <tableColumns count="3">
    <tableColumn id="1" xr3:uid="{EA30E107-D9F6-41DA-A593-91735E1F82A2}" name="Spalte1"/>
    <tableColumn id="2" xr3:uid="{6D3D17D9-B406-48F7-AC78-669CE14997B9}" name="Blue" dataDxfId="1" dataCellStyle="Prozent">
      <calculatedColumnFormula>(46*60+6)/(52*60+17)</calculatedColumnFormula>
    </tableColumn>
    <tableColumn id="3" xr3:uid="{462D7421-1A6B-471C-B1FC-F03FC01A8B74}" name="Red" dataDxfId="0" dataCellStyle="Prozent">
      <calculatedColumnFormula>M53/M52</calculatedColumnFormula>
    </tableColumn>
  </tableColumns>
  <tableStyleInfo name="TableStyleLight9" showFirstColumn="0" showLastColumn="0" showRowStripes="1" showColumnStripes="0"/>
</table>
</file>

<file path=xl/theme/theme1.xml><?xml version="1.0" encoding="utf-8"?>
<a:theme xmlns:a="http://schemas.openxmlformats.org/drawingml/2006/main" name="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8" Type="http://schemas.openxmlformats.org/officeDocument/2006/relationships/table" Target="../tables/table6.xml"/><Relationship Id="rId3" Type="http://schemas.openxmlformats.org/officeDocument/2006/relationships/table" Target="../tables/table1.xml"/><Relationship Id="rId7" Type="http://schemas.openxmlformats.org/officeDocument/2006/relationships/table" Target="../tables/table5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Relationship Id="rId6" Type="http://schemas.openxmlformats.org/officeDocument/2006/relationships/table" Target="../tables/table4.xml"/><Relationship Id="rId5" Type="http://schemas.openxmlformats.org/officeDocument/2006/relationships/table" Target="../tables/table3.xml"/><Relationship Id="rId4" Type="http://schemas.openxmlformats.org/officeDocument/2006/relationships/table" Target="../tables/table2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7C03B34-FF9A-4BAB-BFFD-D449B574B7AC}">
  <dimension ref="C3:X81"/>
  <sheetViews>
    <sheetView tabSelected="1" topLeftCell="A24" workbookViewId="0">
      <selection activeCell="L49" sqref="L49"/>
    </sheetView>
  </sheetViews>
  <sheetFormatPr baseColWidth="10" defaultRowHeight="15" x14ac:dyDescent="0.25"/>
  <cols>
    <col min="4" max="4" width="13.140625" customWidth="1"/>
    <col min="5" max="5" width="18.5703125" customWidth="1"/>
    <col min="6" max="6" width="13.85546875" customWidth="1"/>
    <col min="7" max="7" width="14.7109375" customWidth="1"/>
    <col min="8" max="8" width="12.5703125" customWidth="1"/>
    <col min="9" max="9" width="14.140625" customWidth="1"/>
    <col min="11" max="11" width="18" customWidth="1"/>
    <col min="12" max="12" width="14.85546875" customWidth="1"/>
    <col min="13" max="13" width="13.7109375" customWidth="1"/>
    <col min="15" max="15" width="14.5703125" customWidth="1"/>
    <col min="22" max="22" width="14" customWidth="1"/>
  </cols>
  <sheetData>
    <row r="3" spans="3:24" ht="26.25" x14ac:dyDescent="0.4">
      <c r="C3" s="39" t="s">
        <v>44</v>
      </c>
      <c r="D3" s="38"/>
      <c r="E3" s="38"/>
      <c r="G3" t="s">
        <v>32</v>
      </c>
      <c r="H3" t="s">
        <v>45</v>
      </c>
    </row>
    <row r="4" spans="3:24" x14ac:dyDescent="0.25">
      <c r="G4" t="s">
        <v>33</v>
      </c>
      <c r="H4" t="s">
        <v>34</v>
      </c>
    </row>
    <row r="5" spans="3:24" x14ac:dyDescent="0.25">
      <c r="C5" s="6" t="s">
        <v>3</v>
      </c>
      <c r="P5" s="5" t="s">
        <v>22</v>
      </c>
      <c r="W5" s="5" t="s">
        <v>37</v>
      </c>
    </row>
    <row r="7" spans="3:24" x14ac:dyDescent="0.25">
      <c r="C7" t="s">
        <v>17</v>
      </c>
      <c r="D7" t="s">
        <v>1</v>
      </c>
      <c r="E7" t="s">
        <v>0</v>
      </c>
      <c r="F7" t="s">
        <v>2</v>
      </c>
      <c r="G7" t="s">
        <v>7</v>
      </c>
      <c r="H7" t="s">
        <v>10</v>
      </c>
      <c r="I7" t="s">
        <v>8</v>
      </c>
      <c r="J7" t="s">
        <v>9</v>
      </c>
      <c r="K7" t="s">
        <v>20</v>
      </c>
      <c r="L7" s="9" t="s">
        <v>5</v>
      </c>
      <c r="P7" s="7" t="s">
        <v>23</v>
      </c>
      <c r="Q7" s="8" t="s">
        <v>7</v>
      </c>
      <c r="R7" s="8" t="s">
        <v>10</v>
      </c>
      <c r="S7" s="9" t="s">
        <v>20</v>
      </c>
      <c r="T7" s="8" t="s">
        <v>26</v>
      </c>
      <c r="V7" t="s">
        <v>42</v>
      </c>
      <c r="W7" s="34" t="s">
        <v>40</v>
      </c>
      <c r="X7" s="34" t="s">
        <v>41</v>
      </c>
    </row>
    <row r="8" spans="3:24" x14ac:dyDescent="0.25">
      <c r="C8" s="2" t="s">
        <v>6</v>
      </c>
      <c r="D8" s="3">
        <v>0.23958333333333334</v>
      </c>
      <c r="E8">
        <v>100000</v>
      </c>
      <c r="F8" s="20">
        <v>0.5</v>
      </c>
      <c r="G8" s="4">
        <v>26.5</v>
      </c>
      <c r="H8">
        <v>30.5</v>
      </c>
      <c r="I8">
        <v>8.5000000000000006E-3</v>
      </c>
      <c r="J8">
        <v>2.8999999999999998E-3</v>
      </c>
      <c r="L8" s="10" t="s">
        <v>11</v>
      </c>
      <c r="P8" s="24" t="s">
        <v>25</v>
      </c>
      <c r="Q8" s="25">
        <v>25.88</v>
      </c>
      <c r="R8" s="25">
        <v>30.01</v>
      </c>
      <c r="S8" s="25">
        <v>32210</v>
      </c>
      <c r="T8" s="26">
        <f>6*60+19</f>
        <v>379</v>
      </c>
      <c r="V8" t="s">
        <v>38</v>
      </c>
      <c r="W8" s="36">
        <f>R9/R8</f>
        <v>1.1529490169943353</v>
      </c>
      <c r="X8" s="35">
        <f>R11/R10</f>
        <v>1.0269461077844313</v>
      </c>
    </row>
    <row r="9" spans="3:24" x14ac:dyDescent="0.25">
      <c r="C9" t="s">
        <v>6</v>
      </c>
      <c r="D9" s="1">
        <v>0.23611111111111113</v>
      </c>
      <c r="E9">
        <v>100000</v>
      </c>
      <c r="F9" s="20">
        <v>0.5</v>
      </c>
      <c r="G9">
        <v>26.65</v>
      </c>
      <c r="H9">
        <v>30.7</v>
      </c>
      <c r="I9">
        <v>8.5000000000000006E-3</v>
      </c>
      <c r="J9">
        <v>3.0999999999999999E-3</v>
      </c>
      <c r="L9" s="10" t="s">
        <v>12</v>
      </c>
      <c r="P9" s="24" t="s">
        <v>24</v>
      </c>
      <c r="Q9" s="25">
        <v>30.29</v>
      </c>
      <c r="R9" s="25">
        <v>34.6</v>
      </c>
      <c r="S9" s="16">
        <v>53422</v>
      </c>
      <c r="T9" s="26">
        <f>5*60+7</f>
        <v>307</v>
      </c>
      <c r="V9" t="s">
        <v>39</v>
      </c>
      <c r="W9" s="36">
        <f t="shared" ref="W9" si="0">R10/R9</f>
        <v>0.86878612716763004</v>
      </c>
      <c r="X9" s="35">
        <f>T11/T10</f>
        <v>0.85036119711042313</v>
      </c>
    </row>
    <row r="10" spans="3:24" x14ac:dyDescent="0.25">
      <c r="C10" s="13" t="s">
        <v>19</v>
      </c>
      <c r="D10" s="14">
        <v>0.21319444444444444</v>
      </c>
      <c r="E10" s="13">
        <v>100000</v>
      </c>
      <c r="F10" s="21">
        <v>0.5</v>
      </c>
      <c r="G10" s="13">
        <v>30.29</v>
      </c>
      <c r="H10" s="13">
        <v>34.6</v>
      </c>
      <c r="I10" s="13">
        <v>1.2E-2</v>
      </c>
      <c r="J10" s="13">
        <v>7.9000000000000008E-3</v>
      </c>
      <c r="K10" s="13">
        <v>53422</v>
      </c>
      <c r="L10" s="16" t="s">
        <v>13</v>
      </c>
      <c r="P10" s="33" t="s">
        <v>25</v>
      </c>
      <c r="Q10" s="27">
        <v>27.31</v>
      </c>
      <c r="R10" s="32">
        <v>30.06</v>
      </c>
      <c r="S10" s="27"/>
      <c r="T10" s="31">
        <f>16*60+9</f>
        <v>969</v>
      </c>
    </row>
    <row r="11" spans="3:24" x14ac:dyDescent="0.25">
      <c r="C11" s="13" t="s">
        <v>18</v>
      </c>
      <c r="D11" s="14">
        <v>0.21319444444444444</v>
      </c>
      <c r="E11" s="13">
        <v>100000</v>
      </c>
      <c r="F11" s="21">
        <v>0.5</v>
      </c>
      <c r="G11" s="13">
        <v>30.35</v>
      </c>
      <c r="H11" s="13">
        <v>35.1</v>
      </c>
      <c r="I11" s="13">
        <v>1.2E-2</v>
      </c>
      <c r="J11" s="13">
        <v>7.7000000000000002E-3</v>
      </c>
      <c r="K11" s="13">
        <v>17089</v>
      </c>
      <c r="L11" s="16" t="s">
        <v>14</v>
      </c>
      <c r="P11" s="33" t="s">
        <v>24</v>
      </c>
      <c r="Q11" s="32">
        <v>27.67</v>
      </c>
      <c r="R11" s="32">
        <v>30.87</v>
      </c>
      <c r="S11" s="32"/>
      <c r="T11" s="30">
        <f>13*60+44</f>
        <v>824</v>
      </c>
    </row>
    <row r="12" spans="3:24" x14ac:dyDescent="0.25">
      <c r="C12" s="17" t="s">
        <v>29</v>
      </c>
      <c r="D12" s="18">
        <v>0.71180555555555547</v>
      </c>
      <c r="E12" s="17">
        <v>100000</v>
      </c>
      <c r="F12" s="22">
        <v>1</v>
      </c>
      <c r="G12" s="17">
        <v>24.86</v>
      </c>
      <c r="H12" s="17">
        <v>27.47</v>
      </c>
      <c r="I12" s="17">
        <v>2.3199999999999998E-2</v>
      </c>
      <c r="J12" s="17">
        <v>1.01E-2</v>
      </c>
      <c r="K12" s="17"/>
      <c r="L12" s="23" t="s">
        <v>30</v>
      </c>
      <c r="P12" s="11"/>
    </row>
    <row r="13" spans="3:24" x14ac:dyDescent="0.25">
      <c r="C13" s="27" t="s">
        <v>31</v>
      </c>
      <c r="D13" s="28">
        <v>0.58194444444444449</v>
      </c>
      <c r="E13" s="27">
        <v>100000</v>
      </c>
      <c r="F13" s="29">
        <v>1</v>
      </c>
      <c r="G13" s="27">
        <v>27.57</v>
      </c>
      <c r="H13" s="27">
        <v>30.59</v>
      </c>
      <c r="I13" s="27">
        <v>1.6400000000000001E-2</v>
      </c>
      <c r="J13" s="27">
        <v>0.01</v>
      </c>
      <c r="K13" s="27"/>
      <c r="L13" s="30" t="s">
        <v>14</v>
      </c>
      <c r="P13" s="11"/>
    </row>
    <row r="14" spans="3:24" x14ac:dyDescent="0.25">
      <c r="C14" s="27" t="s">
        <v>35</v>
      </c>
      <c r="D14" s="28">
        <v>0.57222222222222219</v>
      </c>
      <c r="E14" s="27">
        <v>100000</v>
      </c>
      <c r="F14" s="29">
        <v>1</v>
      </c>
      <c r="G14" s="27">
        <v>27.67</v>
      </c>
      <c r="H14" s="27">
        <v>30.87</v>
      </c>
      <c r="I14" s="27">
        <v>1.6199999999999999E-2</v>
      </c>
      <c r="J14" s="27">
        <v>1.01E-2</v>
      </c>
      <c r="K14" s="27"/>
      <c r="L14" s="30" t="s">
        <v>13</v>
      </c>
    </row>
    <row r="15" spans="3:24" x14ac:dyDescent="0.25">
      <c r="E15" s="1"/>
      <c r="L15" s="10"/>
    </row>
    <row r="16" spans="3:24" x14ac:dyDescent="0.25">
      <c r="E16" s="1"/>
      <c r="L16" s="10"/>
    </row>
    <row r="17" spans="3:12" x14ac:dyDescent="0.25">
      <c r="E17" s="1"/>
      <c r="L17" s="10"/>
    </row>
    <row r="18" spans="3:12" x14ac:dyDescent="0.25">
      <c r="E18" s="1"/>
      <c r="L18" s="10"/>
    </row>
    <row r="19" spans="3:12" x14ac:dyDescent="0.25">
      <c r="E19" s="1"/>
      <c r="L19" s="10"/>
    </row>
    <row r="20" spans="3:12" x14ac:dyDescent="0.25">
      <c r="E20" s="1"/>
      <c r="L20" s="10"/>
    </row>
    <row r="21" spans="3:12" x14ac:dyDescent="0.25">
      <c r="E21" s="1"/>
      <c r="L21" s="12"/>
    </row>
    <row r="24" spans="3:12" x14ac:dyDescent="0.25">
      <c r="C24" s="5" t="s">
        <v>4</v>
      </c>
    </row>
    <row r="26" spans="3:12" x14ac:dyDescent="0.25">
      <c r="C26" t="s">
        <v>17</v>
      </c>
      <c r="D26" t="s">
        <v>1</v>
      </c>
      <c r="E26" t="s">
        <v>0</v>
      </c>
      <c r="F26" t="s">
        <v>2</v>
      </c>
      <c r="G26" t="s">
        <v>7</v>
      </c>
      <c r="H26" t="s">
        <v>10</v>
      </c>
      <c r="I26" t="s">
        <v>8</v>
      </c>
      <c r="J26" t="s">
        <v>9</v>
      </c>
      <c r="K26" t="s">
        <v>20</v>
      </c>
      <c r="L26" t="s">
        <v>5</v>
      </c>
    </row>
    <row r="27" spans="3:12" x14ac:dyDescent="0.25">
      <c r="C27" s="2" t="s">
        <v>6</v>
      </c>
      <c r="D27" s="1">
        <v>0.19999999999999998</v>
      </c>
      <c r="E27" s="4">
        <v>100000</v>
      </c>
      <c r="F27" s="20">
        <v>0.5</v>
      </c>
      <c r="G27">
        <v>26.81</v>
      </c>
      <c r="H27">
        <v>30.76</v>
      </c>
      <c r="I27">
        <v>1.9E-2</v>
      </c>
      <c r="J27">
        <v>6.4000000000000003E-3</v>
      </c>
      <c r="L27" t="s">
        <v>15</v>
      </c>
    </row>
    <row r="28" spans="3:12" x14ac:dyDescent="0.25">
      <c r="C28" s="13" t="s">
        <v>21</v>
      </c>
      <c r="D28" s="14">
        <v>0.26319444444444445</v>
      </c>
      <c r="E28" s="15">
        <v>100000</v>
      </c>
      <c r="F28" s="21">
        <v>0.5</v>
      </c>
      <c r="G28" s="13">
        <v>25.88</v>
      </c>
      <c r="H28" s="13">
        <v>30.01</v>
      </c>
      <c r="I28" s="13">
        <v>1.47E-2</v>
      </c>
      <c r="J28" s="13">
        <v>9.4999999999999998E-3</v>
      </c>
      <c r="K28" s="13">
        <v>32210</v>
      </c>
      <c r="L28" s="13" t="s">
        <v>16</v>
      </c>
    </row>
    <row r="29" spans="3:12" x14ac:dyDescent="0.25">
      <c r="C29" s="17" t="s">
        <v>27</v>
      </c>
      <c r="D29" s="18">
        <v>0.81736111111111109</v>
      </c>
      <c r="E29" s="19">
        <v>100000</v>
      </c>
      <c r="F29" s="22">
        <v>1</v>
      </c>
      <c r="G29" s="17">
        <v>24.6</v>
      </c>
      <c r="H29" s="17">
        <v>28.1</v>
      </c>
      <c r="I29" s="17">
        <v>3.3000000000000002E-2</v>
      </c>
      <c r="J29" s="17">
        <v>8.3000000000000001E-3</v>
      </c>
      <c r="K29" s="17"/>
      <c r="L29" s="17" t="s">
        <v>28</v>
      </c>
    </row>
    <row r="30" spans="3:12" x14ac:dyDescent="0.25">
      <c r="C30" s="27" t="s">
        <v>36</v>
      </c>
      <c r="D30" s="28">
        <v>0.67291666666666661</v>
      </c>
      <c r="E30" s="31">
        <v>100000</v>
      </c>
      <c r="F30" s="29">
        <v>1</v>
      </c>
      <c r="G30" s="27">
        <v>27.31</v>
      </c>
      <c r="H30" s="27">
        <v>30.06</v>
      </c>
      <c r="I30" s="27">
        <v>1.7000000000000001E-2</v>
      </c>
      <c r="J30" s="27">
        <v>9.5999999999999992E-3</v>
      </c>
      <c r="K30" s="27"/>
      <c r="L30" s="27"/>
    </row>
    <row r="31" spans="3:12" x14ac:dyDescent="0.25">
      <c r="E31" s="1"/>
    </row>
    <row r="32" spans="3:12" x14ac:dyDescent="0.25">
      <c r="E32" s="1"/>
    </row>
    <row r="33" spans="3:17" x14ac:dyDescent="0.25">
      <c r="E33" s="1"/>
    </row>
    <row r="34" spans="3:17" x14ac:dyDescent="0.25">
      <c r="E34" s="1"/>
    </row>
    <row r="35" spans="3:17" x14ac:dyDescent="0.25">
      <c r="E35" s="1"/>
    </row>
    <row r="36" spans="3:17" x14ac:dyDescent="0.25">
      <c r="E36" s="1"/>
    </row>
    <row r="37" spans="3:17" x14ac:dyDescent="0.25">
      <c r="E37" s="1"/>
    </row>
    <row r="38" spans="3:17" x14ac:dyDescent="0.25">
      <c r="E38" s="1"/>
    </row>
    <row r="39" spans="3:17" x14ac:dyDescent="0.25">
      <c r="E39" s="1"/>
    </row>
    <row r="40" spans="3:17" x14ac:dyDescent="0.25">
      <c r="E40" s="1"/>
    </row>
    <row r="43" spans="3:17" ht="26.25" x14ac:dyDescent="0.4">
      <c r="C43" s="39" t="s">
        <v>43</v>
      </c>
      <c r="D43" s="38"/>
      <c r="E43" s="38"/>
    </row>
    <row r="46" spans="3:17" x14ac:dyDescent="0.25">
      <c r="C46" s="6" t="s">
        <v>3</v>
      </c>
      <c r="P46" s="5" t="s">
        <v>37</v>
      </c>
    </row>
    <row r="48" spans="3:17" x14ac:dyDescent="0.25">
      <c r="C48" t="s">
        <v>17</v>
      </c>
      <c r="D48" t="s">
        <v>1</v>
      </c>
      <c r="E48" t="s">
        <v>0</v>
      </c>
      <c r="F48" t="s">
        <v>2</v>
      </c>
      <c r="G48" t="s">
        <v>7</v>
      </c>
      <c r="H48" t="s">
        <v>10</v>
      </c>
      <c r="I48" t="s">
        <v>8</v>
      </c>
      <c r="J48" t="s">
        <v>9</v>
      </c>
      <c r="K48" t="s">
        <v>20</v>
      </c>
      <c r="L48" s="9" t="s">
        <v>5</v>
      </c>
      <c r="O48" t="s">
        <v>42</v>
      </c>
      <c r="P48" s="34" t="s">
        <v>40</v>
      </c>
      <c r="Q48" s="34" t="s">
        <v>41</v>
      </c>
    </row>
    <row r="49" spans="3:17" x14ac:dyDescent="0.25">
      <c r="C49" s="44" t="s">
        <v>46</v>
      </c>
      <c r="D49" s="45">
        <v>1.9208333333333334</v>
      </c>
      <c r="E49" s="13" t="s">
        <v>47</v>
      </c>
      <c r="F49" s="21">
        <v>1</v>
      </c>
      <c r="G49" s="15">
        <v>32.6</v>
      </c>
      <c r="H49" s="13">
        <v>30.19</v>
      </c>
      <c r="I49" s="13">
        <v>0.13200000000000001</v>
      </c>
      <c r="J49" s="13">
        <v>7.2499999999999995E-2</v>
      </c>
      <c r="K49" s="13"/>
      <c r="L49" s="16" t="s">
        <v>49</v>
      </c>
      <c r="O49" t="s">
        <v>38</v>
      </c>
      <c r="P49" s="36">
        <f>Tabelle15[[#This Row],[PSNR (End)]]/H68</f>
        <v>1.3194930069930071</v>
      </c>
      <c r="Q49" s="35"/>
    </row>
    <row r="50" spans="3:17" x14ac:dyDescent="0.25">
      <c r="C50" s="40"/>
      <c r="D50" s="43"/>
      <c r="E50" s="40"/>
      <c r="F50" s="41"/>
      <c r="G50" s="40"/>
      <c r="H50" s="40"/>
      <c r="I50" s="40"/>
      <c r="J50" s="40"/>
      <c r="K50" s="40"/>
      <c r="L50" s="37"/>
      <c r="O50" t="s">
        <v>39</v>
      </c>
      <c r="P50" s="36">
        <f t="shared" ref="P50" si="1">(46*60+6)/(52*60+17)</f>
        <v>0.88173414089894808</v>
      </c>
      <c r="Q50" s="35"/>
    </row>
    <row r="51" spans="3:17" x14ac:dyDescent="0.25">
      <c r="C51" s="40"/>
      <c r="D51" s="43"/>
      <c r="E51" s="40"/>
      <c r="F51" s="41"/>
      <c r="G51" s="40"/>
      <c r="H51" s="40"/>
      <c r="I51" s="40"/>
      <c r="J51" s="40"/>
      <c r="K51" s="40"/>
      <c r="L51" s="37"/>
    </row>
    <row r="52" spans="3:17" x14ac:dyDescent="0.25">
      <c r="C52" s="40"/>
      <c r="D52" s="43"/>
      <c r="E52" s="40"/>
      <c r="F52" s="41"/>
      <c r="G52" s="40"/>
      <c r="H52" s="40"/>
      <c r="I52" s="40"/>
      <c r="J52" s="40"/>
      <c r="K52" s="40"/>
      <c r="L52" s="37"/>
    </row>
    <row r="53" spans="3:17" x14ac:dyDescent="0.25">
      <c r="C53" s="40"/>
      <c r="D53" s="43"/>
      <c r="E53" s="40"/>
      <c r="F53" s="41"/>
      <c r="G53" s="40"/>
      <c r="H53" s="40"/>
      <c r="I53" s="40"/>
      <c r="J53" s="40"/>
      <c r="K53" s="40"/>
      <c r="L53" s="37"/>
    </row>
    <row r="54" spans="3:17" x14ac:dyDescent="0.25">
      <c r="C54" s="40"/>
      <c r="D54" s="43"/>
      <c r="E54" s="40"/>
      <c r="F54" s="41"/>
      <c r="G54" s="40"/>
      <c r="H54" s="40"/>
      <c r="I54" s="40"/>
      <c r="J54" s="40"/>
      <c r="K54" s="40"/>
      <c r="L54" s="37"/>
    </row>
    <row r="55" spans="3:17" x14ac:dyDescent="0.25">
      <c r="C55" s="40"/>
      <c r="D55" s="43"/>
      <c r="E55" s="40"/>
      <c r="F55" s="41"/>
      <c r="G55" s="40"/>
      <c r="H55" s="40"/>
      <c r="I55" s="40"/>
      <c r="J55" s="40"/>
      <c r="K55" s="40"/>
      <c r="L55" s="37"/>
    </row>
    <row r="56" spans="3:17" x14ac:dyDescent="0.25">
      <c r="E56" s="1"/>
      <c r="L56" s="10"/>
    </row>
    <row r="57" spans="3:17" x14ac:dyDescent="0.25">
      <c r="E57" s="1"/>
      <c r="L57" s="10"/>
    </row>
    <row r="58" spans="3:17" x14ac:dyDescent="0.25">
      <c r="E58" s="1"/>
      <c r="L58" s="10"/>
    </row>
    <row r="59" spans="3:17" x14ac:dyDescent="0.25">
      <c r="E59" s="1"/>
      <c r="L59" s="10"/>
    </row>
    <row r="60" spans="3:17" x14ac:dyDescent="0.25">
      <c r="E60" s="1"/>
      <c r="L60" s="10"/>
    </row>
    <row r="61" spans="3:17" x14ac:dyDescent="0.25">
      <c r="E61" s="1"/>
      <c r="L61" s="10"/>
    </row>
    <row r="62" spans="3:17" x14ac:dyDescent="0.25">
      <c r="E62" s="1"/>
      <c r="L62" s="12"/>
    </row>
    <row r="65" spans="3:12" x14ac:dyDescent="0.25">
      <c r="C65" s="5" t="s">
        <v>4</v>
      </c>
    </row>
    <row r="67" spans="3:12" x14ac:dyDescent="0.25">
      <c r="C67" t="s">
        <v>17</v>
      </c>
      <c r="D67" t="s">
        <v>1</v>
      </c>
      <c r="E67" t="s">
        <v>0</v>
      </c>
      <c r="F67" t="s">
        <v>2</v>
      </c>
      <c r="G67" t="s">
        <v>7</v>
      </c>
      <c r="H67" t="s">
        <v>10</v>
      </c>
      <c r="I67" t="s">
        <v>8</v>
      </c>
      <c r="J67" t="s">
        <v>9</v>
      </c>
      <c r="K67" t="s">
        <v>20</v>
      </c>
      <c r="L67" t="s">
        <v>5</v>
      </c>
    </row>
    <row r="68" spans="3:12" x14ac:dyDescent="0.25">
      <c r="C68" s="13" t="s">
        <v>48</v>
      </c>
      <c r="D68" s="45">
        <v>2.1784722222222221</v>
      </c>
      <c r="E68" s="15" t="s">
        <v>47</v>
      </c>
      <c r="F68" s="21">
        <v>1</v>
      </c>
      <c r="G68" s="13">
        <v>23.28</v>
      </c>
      <c r="H68" s="13">
        <v>22.88</v>
      </c>
      <c r="I68" s="13">
        <v>0.1051</v>
      </c>
      <c r="J68" s="13">
        <v>4.3799999999999999E-2</v>
      </c>
      <c r="K68" s="13"/>
      <c r="L68" s="13"/>
    </row>
    <row r="69" spans="3:12" x14ac:dyDescent="0.25">
      <c r="E69" s="1"/>
      <c r="K69" s="40"/>
      <c r="L69" s="40"/>
    </row>
    <row r="70" spans="3:12" x14ac:dyDescent="0.25">
      <c r="C70" s="40"/>
      <c r="D70" s="43"/>
      <c r="E70" s="42"/>
      <c r="F70" s="41"/>
      <c r="G70" s="40"/>
      <c r="H70" s="40"/>
      <c r="I70" s="40"/>
      <c r="J70" s="40"/>
      <c r="K70" s="40"/>
      <c r="L70" s="40"/>
    </row>
    <row r="71" spans="3:12" x14ac:dyDescent="0.25">
      <c r="C71" s="40"/>
      <c r="D71" s="43"/>
      <c r="E71" s="42"/>
      <c r="F71" s="41"/>
      <c r="G71" s="40"/>
      <c r="H71" s="40"/>
      <c r="I71" s="40"/>
      <c r="J71" s="40"/>
      <c r="K71" s="40"/>
      <c r="L71" s="40"/>
    </row>
    <row r="72" spans="3:12" x14ac:dyDescent="0.25">
      <c r="E72" s="1"/>
    </row>
    <row r="73" spans="3:12" x14ac:dyDescent="0.25">
      <c r="E73" s="1"/>
    </row>
    <row r="74" spans="3:12" x14ac:dyDescent="0.25">
      <c r="E74" s="1"/>
    </row>
    <row r="75" spans="3:12" x14ac:dyDescent="0.25">
      <c r="E75" s="1"/>
    </row>
    <row r="76" spans="3:12" x14ac:dyDescent="0.25">
      <c r="E76" s="1"/>
    </row>
    <row r="77" spans="3:12" x14ac:dyDescent="0.25">
      <c r="E77" s="1"/>
    </row>
    <row r="78" spans="3:12" x14ac:dyDescent="0.25">
      <c r="E78" s="1"/>
    </row>
    <row r="79" spans="3:12" x14ac:dyDescent="0.25">
      <c r="E79" s="1"/>
    </row>
    <row r="80" spans="3:12" x14ac:dyDescent="0.25">
      <c r="E80" s="1"/>
    </row>
    <row r="81" spans="5:5" x14ac:dyDescent="0.25">
      <c r="E81" s="1"/>
    </row>
  </sheetData>
  <pageMargins left="0.7" right="0.7" top="0.78740157499999996" bottom="0.78740157499999996" header="0.3" footer="0.3"/>
  <pageSetup paperSize="9" orientation="portrait" verticalDpi="0" r:id="rId1"/>
  <drawing r:id="rId2"/>
  <tableParts count="6">
    <tablePart r:id="rId3"/>
    <tablePart r:id="rId4"/>
    <tablePart r:id="rId5"/>
    <tablePart r:id="rId6"/>
    <tablePart r:id="rId7"/>
    <tablePart r:id="rId8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Arbeitsblätter</vt:lpstr>
      </vt:variant>
      <vt:variant>
        <vt:i4>1</vt:i4>
      </vt:variant>
    </vt:vector>
  </HeadingPairs>
  <TitlesOfParts>
    <vt:vector size="1" baseType="lpstr">
      <vt:lpstr>Tabelle1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Kraft, Valentin</dc:creator>
  <cp:lastModifiedBy>Kraft, Valentin</cp:lastModifiedBy>
  <dcterms:created xsi:type="dcterms:W3CDTF">2025-06-16T12:10:44Z</dcterms:created>
  <dcterms:modified xsi:type="dcterms:W3CDTF">2025-06-26T13:24:15Z</dcterms:modified>
</cp:coreProperties>
</file>